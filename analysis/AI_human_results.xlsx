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NextCloud\DTU\Term 4\Thesis\"/>
    </mc:Choice>
  </mc:AlternateContent>
  <xr:revisionPtr revIDLastSave="0" documentId="13_ncr:1_{A5A5AAD4-8C9F-4AF3-BA9B-F33531011FE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 a="1"/>
  <c r="W2" i="1" s="1"/>
  <c r="W3" i="1" a="1"/>
  <c r="W3" i="1" s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S2" i="1" a="1"/>
  <c r="S2" i="1" s="1"/>
  <c r="T2" i="1" a="1"/>
  <c r="T2" i="1" s="1"/>
  <c r="U2" i="1" a="1"/>
  <c r="U2" i="1" s="1"/>
  <c r="V2" i="1" a="1"/>
  <c r="V2" i="1"/>
  <c r="S3" i="1" a="1"/>
  <c r="S3" i="1" s="1"/>
  <c r="T3" i="1" a="1"/>
  <c r="T3" i="1" s="1"/>
  <c r="U3" i="1" a="1"/>
  <c r="U3" i="1" s="1"/>
  <c r="V3" i="1" a="1"/>
  <c r="V3" i="1"/>
  <c r="S4" i="1" a="1"/>
  <c r="S4" i="1" s="1"/>
  <c r="T4" i="1" a="1"/>
  <c r="T4" i="1" s="1"/>
  <c r="U4" i="1" a="1"/>
  <c r="U4" i="1" s="1"/>
  <c r="V4" i="1" a="1"/>
  <c r="V4" i="1"/>
  <c r="S5" i="1" a="1"/>
  <c r="S5" i="1" s="1"/>
  <c r="T5" i="1" a="1"/>
  <c r="T5" i="1" s="1"/>
  <c r="U5" i="1" a="1"/>
  <c r="U5" i="1" s="1"/>
  <c r="V5" i="1" a="1"/>
  <c r="V5" i="1"/>
  <c r="S6" i="1" a="1"/>
  <c r="S6" i="1" s="1"/>
  <c r="T6" i="1" a="1"/>
  <c r="T6" i="1" s="1"/>
  <c r="U6" i="1" a="1"/>
  <c r="U6" i="1" s="1"/>
  <c r="V6" i="1" a="1"/>
  <c r="V6" i="1"/>
  <c r="S7" i="1" a="1"/>
  <c r="S7" i="1" s="1"/>
  <c r="T7" i="1" a="1"/>
  <c r="T7" i="1" s="1"/>
  <c r="U7" i="1" a="1"/>
  <c r="U7" i="1" s="1"/>
  <c r="V7" i="1" a="1"/>
  <c r="V7" i="1"/>
  <c r="S8" i="1" a="1"/>
  <c r="S8" i="1" s="1"/>
  <c r="T8" i="1" a="1"/>
  <c r="T8" i="1" s="1"/>
  <c r="U8" i="1" a="1"/>
  <c r="U8" i="1" s="1"/>
  <c r="V8" i="1" a="1"/>
  <c r="V8" i="1"/>
  <c r="S9" i="1" a="1"/>
  <c r="S9" i="1" s="1"/>
  <c r="T9" i="1" a="1"/>
  <c r="T9" i="1" s="1"/>
  <c r="U9" i="1" a="1"/>
  <c r="U9" i="1" s="1"/>
  <c r="V9" i="1" a="1"/>
  <c r="V9" i="1"/>
  <c r="S10" i="1" a="1"/>
  <c r="S10" i="1" s="1"/>
  <c r="T10" i="1" a="1"/>
  <c r="T10" i="1" s="1"/>
  <c r="U10" i="1" a="1"/>
  <c r="U10" i="1" s="1"/>
  <c r="V10" i="1" a="1"/>
  <c r="V10" i="1"/>
  <c r="S11" i="1" a="1"/>
  <c r="S11" i="1" s="1"/>
  <c r="T11" i="1" a="1"/>
  <c r="T11" i="1" s="1"/>
  <c r="U11" i="1" a="1"/>
  <c r="U11" i="1" s="1"/>
  <c r="V11" i="1" a="1"/>
  <c r="V11" i="1"/>
  <c r="S12" i="1" a="1"/>
  <c r="S12" i="1" s="1"/>
  <c r="T12" i="1" a="1"/>
  <c r="T12" i="1" s="1"/>
  <c r="U12" i="1" a="1"/>
  <c r="U12" i="1" s="1"/>
  <c r="V12" i="1" a="1"/>
  <c r="V12" i="1"/>
  <c r="S13" i="1" a="1"/>
  <c r="S13" i="1" s="1"/>
  <c r="T13" i="1" a="1"/>
  <c r="T13" i="1" s="1"/>
  <c r="U13" i="1" a="1"/>
  <c r="U13" i="1" s="1"/>
  <c r="V13" i="1" a="1"/>
  <c r="V13" i="1"/>
  <c r="S14" i="1" a="1"/>
  <c r="S14" i="1" s="1"/>
  <c r="T14" i="1" a="1"/>
  <c r="T14" i="1" s="1"/>
  <c r="U14" i="1" a="1"/>
  <c r="U14" i="1" s="1"/>
  <c r="V14" i="1" a="1"/>
  <c r="V14" i="1"/>
  <c r="S15" i="1" a="1"/>
  <c r="S15" i="1" s="1"/>
  <c r="T15" i="1" a="1"/>
  <c r="T15" i="1" s="1"/>
  <c r="U15" i="1" a="1"/>
  <c r="U15" i="1" s="1"/>
  <c r="V15" i="1" a="1"/>
  <c r="V15" i="1"/>
  <c r="S16" i="1" a="1"/>
  <c r="S16" i="1" s="1"/>
  <c r="T16" i="1" a="1"/>
  <c r="T16" i="1" s="1"/>
  <c r="U16" i="1" a="1"/>
  <c r="U16" i="1" s="1"/>
  <c r="V16" i="1" a="1"/>
  <c r="V16" i="1"/>
  <c r="S17" i="1" a="1"/>
  <c r="S17" i="1" s="1"/>
  <c r="T17" i="1" a="1"/>
  <c r="T17" i="1" s="1"/>
  <c r="U17" i="1" a="1"/>
  <c r="U17" i="1" s="1"/>
  <c r="V17" i="1" a="1"/>
  <c r="V17" i="1"/>
  <c r="S18" i="1" a="1"/>
  <c r="S18" i="1" s="1"/>
  <c r="T18" i="1" a="1"/>
  <c r="T18" i="1" s="1"/>
  <c r="U18" i="1" a="1"/>
  <c r="U18" i="1" s="1"/>
  <c r="V18" i="1" a="1"/>
  <c r="V18" i="1"/>
  <c r="S19" i="1" a="1"/>
  <c r="S19" i="1" s="1"/>
  <c r="T19" i="1" a="1"/>
  <c r="T19" i="1" s="1"/>
  <c r="U19" i="1" a="1"/>
  <c r="U19" i="1" s="1"/>
  <c r="V19" i="1" a="1"/>
  <c r="V19" i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" i="1" a="1"/>
  <c r="R2" i="1" s="1"/>
  <c r="P2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F2" i="1" s="1"/>
  <c r="H2" i="1" s="1"/>
  <c r="J2" i="1" s="1"/>
  <c r="L2" i="1" s="1"/>
  <c r="D20" i="1" l="1"/>
  <c r="F20" i="1"/>
  <c r="H20" i="1"/>
  <c r="J20" i="1"/>
  <c r="N20" i="1"/>
  <c r="L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<sst xmlns="http://schemas.openxmlformats.org/spreadsheetml/2006/main" count="29" uniqueCount="27">
  <si>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Question number</t>
  </si>
  <si>
    <t>Correct answer</t>
  </si>
  <si>
    <t>Jeremi</t>
  </si>
  <si>
    <t>Isti</t>
  </si>
  <si>
    <t>Martyna</t>
  </si>
  <si>
    <t>Ginta</t>
  </si>
  <si>
    <t>Bence</t>
  </si>
  <si>
    <t>Zuzana</t>
  </si>
  <si>
    <t>AVERAGE</t>
  </si>
  <si>
    <t>Actual Agent (C)</t>
  </si>
  <si>
    <t>Perceived as</t>
  </si>
  <si>
    <t>Condition</t>
  </si>
  <si>
    <t>Result</t>
  </si>
  <si>
    <t>1 (AI)</t>
  </si>
  <si>
    <t>AI (Score &gt; 0)</t>
  </si>
  <si>
    <t>True Positive</t>
  </si>
  <si>
    <t>TP</t>
  </si>
  <si>
    <t>Human (Score &lt; 0)</t>
  </si>
  <si>
    <t>False Negative</t>
  </si>
  <si>
    <t>FN</t>
  </si>
  <si>
    <t>7 (Human)</t>
  </si>
  <si>
    <t>Human (Score &gt; 0)</t>
  </si>
  <si>
    <t>True Negative</t>
  </si>
  <si>
    <t>TN</t>
  </si>
  <si>
    <t>AI (Score &lt; 0)</t>
  </si>
  <si>
    <t>False Positive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</si>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</sst>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topLeftCell="A10" zoomScale="115" zoomScaleNormal="115" workbookViewId="0">
      <selection activeCell="O25" sqref="O25"/>
    </sheetView>
  </sheetViews>
  <sheetFormatPr defaultRowHeight="15" x14ac:dyDescent="0.25"/>
  <cols>
    <col min="1" max="1" width="16.7109375" bestFit="1" customWidth="1"/>
    <col min="2" max="2" width="14.42578125" bestFit="1" customWidth="1"/>
    <col min="10" max="10" width="12" bestFit="1" customWidth="1"/>
  </cols>
  <sheetData>
    <row r="1" spans="1:23" x14ac:dyDescent="0.25">
      <c r="A1" t="s">
        <v>0</v>
      </c>
      <c r="B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P1" t="s">
        <v>8</v>
      </c>
    </row>
    <row r="2" spans="1:23" x14ac:dyDescent="0.25">
      <c r="A2">
        <v>1</v>
      </c>
      <c r="B2">
        <v>7</v>
      </c>
      <c r="C2">
        <v>5</v>
      </c>
      <c r="D2">
        <f t="shared" ref="D2:D19" si="0">1 - (1/3 * ABS($B2 - C2))</f>
        <v>0.33333333333333337</v>
      </c>
      <c r="E2">
        <v>6</v>
      </c>
      <c r="F2">
        <f t="shared" ref="F2:F19" si="1">1 - (1/3 * ABS($B2 - E2))</f>
        <v>0.66666666666666674</v>
      </c>
      <c r="G2">
        <v>3</v>
      </c>
      <c r="H2">
        <f t="shared" ref="H2:H19" si="2">1 - (1/3 * ABS($B2 - G2))</f>
        <v>-0.33333333333333326</v>
      </c>
      <c r="I2">
        <v>5</v>
      </c>
      <c r="J2">
        <f t="shared" ref="J2:J19" si="3">1 - (1/3 * ABS($B2 - I2))</f>
        <v>0.33333333333333337</v>
      </c>
      <c r="K2">
        <v>4</v>
      </c>
      <c r="L2">
        <f t="shared" ref="L2:L19" si="4">1 - (1/3 * ABS($B2 - K2))</f>
        <v>0</v>
      </c>
      <c r="M2">
        <v>3</v>
      </c>
      <c r="N2">
        <f t="shared" ref="N2:N19" si="5">1 - (1/3 * ABS($B2 - M2))</f>
        <v>-0.33333333333333326</v>
      </c>
      <c r="P2">
        <f>AVERAGE(D2,F2,H2,J2,L2,N2)</f>
        <v>0.11111111111111112</v>
      </c>
      <c r="R2" t="str" cm="1">
        <f t="array" ref="R2">IF(INDEX($D2:$N2, 1, (COLUMN()-18)*2 + 1)=0, "Neutral", IF(INDEX($D2:$N2, 1, (COLUMN()-18)*2 + 1)&gt;0, IF($B2=1, "TP", "TN"), IF($B2=1, "FN", "FP")))</f>
        <v>TN</v>
      </c>
      <c r="S2" t="str" cm="1">
        <f t="array" ref="S2">IF(INDEX($D2:$N2, 1, (COLUMN()-18)*2 + 1)=0, "Neutral", IF(INDEX($D2:$N2, 1, (COLUMN()-18)*2 + 1)&gt;0, IF($B2=1, "TP", "TN"), IF($B2=1, "FN", "FP")))</f>
        <v>TN</v>
      </c>
      <c r="T2" t="str" cm="1">
        <f t="array" ref="T2">IF(INDEX($D2:$N2, 1, (COLUMN()-18)*2 + 1)=0, "Neutral", IF(INDEX($D2:$N2, 1, (COLUMN()-18)*2 + 1)&gt;0, IF($B2=1, "TP", "TN"), IF($B2=1, "FN", "FP")))</f>
        <v>FP</v>
      </c>
      <c r="U2" t="str" cm="1">
        <f t="array" ref="U2">IF(INDEX($D2:$N2, 1, (COLUMN()-18)*2 + 1)=0, "Neutral", IF(INDEX($D2:$N2, 1, (COLUMN()-18)*2 + 1)&gt;0, IF($B2=1, "TP", "TN"), IF($B2=1, "FN", "FP")))</f>
        <v>TN</v>
      </c>
      <c r="V2" t="str" cm="1">
        <f t="array" ref="V2">IF(INDEX($D2:$N2, 1, (COLUMN()-18)*2 + 1)=0, "Neutral", IF(INDEX($D2:$N2, 1, (COLUMN()-18)*2 + 1)&gt;0, IF($B2=1, "TP", "TN"), IF($B2=1, "FN", "FP")))</f>
        <v>Neutral</v>
      </c>
      <c r="W2" t="str" cm="1">
        <f t="array" ref="W2">IF(INDEX($D2:$N2, 1, (COLUMN()-18)*2 + 1)=0, "Neutral", IF(INDEX($D2:$N2, 1, (COLUMN()-18)*2 + 1)&gt;0, IF($B2=1, "TP", "TN"), IF($B2=1, "FN", "FP")))</f>
        <v>FP</v>
      </c>
    </row>
    <row r="3" spans="1:23" x14ac:dyDescent="0.25">
      <c r="A3">
        <v>2</v>
      </c>
      <c r="B3">
        <v>1</v>
      </c>
      <c r="C3">
        <v>2</v>
      </c>
      <c r="D3">
        <f t="shared" si="0"/>
        <v>0.66666666666666674</v>
      </c>
      <c r="E3">
        <v>5</v>
      </c>
      <c r="F3">
        <f t="shared" si="1"/>
        <v>-0.33333333333333326</v>
      </c>
      <c r="G3">
        <v>5</v>
      </c>
      <c r="H3">
        <f t="shared" si="2"/>
        <v>-0.33333333333333326</v>
      </c>
      <c r="I3">
        <v>4</v>
      </c>
      <c r="J3">
        <f t="shared" si="3"/>
        <v>0</v>
      </c>
      <c r="K3">
        <v>2</v>
      </c>
      <c r="L3">
        <f t="shared" si="4"/>
        <v>0.66666666666666674</v>
      </c>
      <c r="M3">
        <v>6</v>
      </c>
      <c r="N3">
        <f t="shared" si="5"/>
        <v>-0.66666666666666652</v>
      </c>
      <c r="P3">
        <f t="shared" ref="P3:P19" si="6">AVERAGE(D3,F3,H3,J3,L3,N3)</f>
        <v>0</v>
      </c>
      <c r="R3" t="str" cm="1">
        <f t="array" ref="R3">IF(INDEX($D3:$N3, 1, (COLUMN()-18)*2 + 1)=0, "Neutral", IF(INDEX($D3:$N3, 1, (COLUMN()-18)*2 + 1)&gt;0, IF($B3=1, "TP", "TN"), IF($B3=1, "FN", "FP")))</f>
        <v>TP</v>
      </c>
      <c r="S3" t="str" cm="1">
        <f t="array" ref="S3">IF(INDEX($D3:$N3, 1, (COLUMN()-18)*2 + 1)=0, "Neutral", IF(INDEX($D3:$N3, 1, (COLUMN()-18)*2 + 1)&gt;0, IF($B3=1, "TP", "TN"), IF($B3=1, "FN", "FP")))</f>
        <v>FN</v>
      </c>
      <c r="T3" t="str" cm="1">
        <f t="array" ref="T3">IF(INDEX($D3:$N3, 1, (COLUMN()-18)*2 + 1)=0, "Neutral", IF(INDEX($D3:$N3, 1, (COLUMN()-18)*2 + 1)&gt;0, IF($B3=1, "TP", "TN"), IF($B3=1, "FN", "FP")))</f>
        <v>FN</v>
      </c>
      <c r="U3" t="str" cm="1">
        <f t="array" ref="U3">IF(INDEX($D3:$N3, 1, (COLUMN()-18)*2 + 1)=0, "Neutral", IF(INDEX($D3:$N3, 1, (COLUMN()-18)*2 + 1)&gt;0, IF($B3=1, "TP", "TN"), IF($B3=1, "FN", "FP")))</f>
        <v>Neutral</v>
      </c>
      <c r="V3" t="str" cm="1">
        <f t="array" ref="V3">IF(INDEX($D3:$N3, 1, (COLUMN()-18)*2 + 1)=0, "Neutral", IF(INDEX($D3:$N3, 1, (COLUMN()-18)*2 + 1)&gt;0, IF($B3=1, "TP", "TN"), IF($B3=1, "FN", "FP")))</f>
        <v>TP</v>
      </c>
      <c r="W3" t="str" cm="1">
        <f t="array" ref="W3">IF(INDEX($D3:$N3, 1, (COLUMN()-18)*2 + 1)=0, "Neutral", IF(INDEX($D3:$N3, 1, (COLUMN()-18)*2 + 1)&gt;0, IF($B3=1, "TP", "TN"), IF($B3=1, "FN", "FP")))</f>
        <v>FN</v>
      </c>
    </row>
    <row r="4" spans="1:23" x14ac:dyDescent="0.25">
      <c r="A4">
        <v>3</v>
      </c>
      <c r="B4">
        <v>1</v>
      </c>
      <c r="C4">
        <v>6</v>
      </c>
      <c r="D4">
        <f t="shared" si="0"/>
        <v>-0.66666666666666652</v>
      </c>
      <c r="E4">
        <v>3</v>
      </c>
      <c r="F4">
        <f t="shared" si="1"/>
        <v>0.33333333333333337</v>
      </c>
      <c r="G4">
        <v>5</v>
      </c>
      <c r="H4">
        <f t="shared" si="2"/>
        <v>-0.33333333333333326</v>
      </c>
      <c r="I4">
        <v>6</v>
      </c>
      <c r="J4">
        <f t="shared" si="3"/>
        <v>-0.66666666666666652</v>
      </c>
      <c r="K4">
        <v>2</v>
      </c>
      <c r="L4">
        <f t="shared" si="4"/>
        <v>0.66666666666666674</v>
      </c>
      <c r="M4">
        <v>2</v>
      </c>
      <c r="N4">
        <f t="shared" si="5"/>
        <v>0.66666666666666674</v>
      </c>
      <c r="P4">
        <f t="shared" si="6"/>
        <v>0</v>
      </c>
      <c r="R4" t="str" cm="1">
        <f t="array" ref="R4">IF(INDEX($D4:$N4, 1, (COLUMN()-18)*2 + 1)=0, "Neutral", IF(INDEX($D4:$N4, 1, (COLUMN()-18)*2 + 1)&gt;0, IF($B4=1, "TP", "TN"), IF($B4=1, "FN", "FP")))</f>
        <v>FN</v>
      </c>
      <c r="S4" t="str" cm="1">
        <f t="array" ref="S4">IF(INDEX($D4:$N4, 1, (COLUMN()-18)*2 + 1)=0, "Neutral", IF(INDEX($D4:$N4, 1, (COLUMN()-18)*2 + 1)&gt;0, IF($B4=1, "TP", "TN"), IF($B4=1, "FN", "FP")))</f>
        <v>TP</v>
      </c>
      <c r="T4" t="str" cm="1">
        <f t="array" ref="T4">IF(INDEX($D4:$N4, 1, (COLUMN()-18)*2 + 1)=0, "Neutral", IF(INDEX($D4:$N4, 1, (COLUMN()-18)*2 + 1)&gt;0, IF($B4=1, "TP", "TN"), IF($B4=1, "FN", "FP")))</f>
        <v>FN</v>
      </c>
      <c r="U4" t="str" cm="1">
        <f t="array" ref="U4">IF(INDEX($D4:$N4, 1, (COLUMN()-18)*2 + 1)=0, "Neutral", IF(INDEX($D4:$N4, 1, (COLUMN()-18)*2 + 1)&gt;0, IF($B4=1, "TP", "TN"), IF($B4=1, "FN", "FP")))</f>
        <v>FN</v>
      </c>
      <c r="V4" t="str" cm="1">
        <f t="array" ref="V4">IF(INDEX($D4:$N4, 1, (COLUMN()-18)*2 + 1)=0, "Neutral", IF(INDEX($D4:$N4, 1, (COLUMN()-18)*2 + 1)&gt;0, IF($B4=1, "TP", "TN"), IF($B4=1, "FN", "FP")))</f>
        <v>TP</v>
      </c>
      <c r="W4" t="str" cm="1">
        <f t="array" ref="W4">IF(INDEX($D4:$N4, 1, (COLUMN()-18)*2 + 1)=0, "Neutral", IF(INDEX($D4:$N4, 1, (COLUMN()-18)*2 + 1)&gt;0, IF($B4=1, "TP", "TN"), IF($B4=1, "FN", "FP")))</f>
        <v>TP</v>
      </c>
    </row>
    <row r="5" spans="1:23" x14ac:dyDescent="0.25">
      <c r="A5">
        <v>4</v>
      </c>
      <c r="B5">
        <v>7</v>
      </c>
      <c r="C5">
        <v>6</v>
      </c>
      <c r="D5">
        <f t="shared" si="0"/>
        <v>0.66666666666666674</v>
      </c>
      <c r="E5">
        <v>2</v>
      </c>
      <c r="F5">
        <f t="shared" si="1"/>
        <v>-0.66666666666666652</v>
      </c>
      <c r="G5">
        <v>5</v>
      </c>
      <c r="H5">
        <f t="shared" si="2"/>
        <v>0.33333333333333337</v>
      </c>
      <c r="I5">
        <v>6</v>
      </c>
      <c r="J5">
        <f t="shared" si="3"/>
        <v>0.66666666666666674</v>
      </c>
      <c r="K5">
        <v>3</v>
      </c>
      <c r="L5">
        <f t="shared" si="4"/>
        <v>-0.33333333333333326</v>
      </c>
      <c r="M5">
        <v>5</v>
      </c>
      <c r="N5">
        <f t="shared" si="5"/>
        <v>0.33333333333333337</v>
      </c>
      <c r="P5">
        <f t="shared" si="6"/>
        <v>0.16666666666666674</v>
      </c>
      <c r="R5" t="str" cm="1">
        <f t="array" ref="R5">IF(INDEX($D5:$N5, 1, (COLUMN()-18)*2 + 1)=0, "Neutral", IF(INDEX($D5:$N5, 1, (COLUMN()-18)*2 + 1)&gt;0, IF($B5=1, "TP", "TN"), IF($B5=1, "FN", "FP")))</f>
        <v>TN</v>
      </c>
      <c r="S5" t="str" cm="1">
        <f t="array" ref="S5">IF(INDEX($D5:$N5, 1, (COLUMN()-18)*2 + 1)=0, "Neutral", IF(INDEX($D5:$N5, 1, (COLUMN()-18)*2 + 1)&gt;0, IF($B5=1, "TP", "TN"), IF($B5=1, "FN", "FP")))</f>
        <v>FP</v>
      </c>
      <c r="T5" t="str" cm="1">
        <f t="array" ref="T5">IF(INDEX($D5:$N5, 1, (COLUMN()-18)*2 + 1)=0, "Neutral", IF(INDEX($D5:$N5, 1, (COLUMN()-18)*2 + 1)&gt;0, IF($B5=1, "TP", "TN"), IF($B5=1, "FN", "FP")))</f>
        <v>TN</v>
      </c>
      <c r="U5" t="str" cm="1">
        <f t="array" ref="U5">IF(INDEX($D5:$N5, 1, (COLUMN()-18)*2 + 1)=0, "Neutral", IF(INDEX($D5:$N5, 1, (COLUMN()-18)*2 + 1)&gt;0, IF($B5=1, "TP", "TN"), IF($B5=1, "FN", "FP")))</f>
        <v>TN</v>
      </c>
      <c r="V5" t="str" cm="1">
        <f t="array" ref="V5">IF(INDEX($D5:$N5, 1, (COLUMN()-18)*2 + 1)=0, "Neutral", IF(INDEX($D5:$N5, 1, (COLUMN()-18)*2 + 1)&gt;0, IF($B5=1, "TP", "TN"), IF($B5=1, "FN", "FP")))</f>
        <v>FP</v>
      </c>
      <c r="W5" t="str" cm="1">
        <f t="array" ref="W5">IF(INDEX($D5:$N5, 1, (COLUMN()-18)*2 + 1)=0, "Neutral", IF(INDEX($D5:$N5, 1, (COLUMN()-18)*2 + 1)&gt;0, IF($B5=1, "TP", "TN"), IF($B5=1, "FN", "FP")))</f>
        <v>TN</v>
      </c>
    </row>
    <row r="6" spans="1:23" x14ac:dyDescent="0.25">
      <c r="A6">
        <v>5</v>
      </c>
      <c r="B6">
        <v>1</v>
      </c>
      <c r="C6">
        <v>4</v>
      </c>
      <c r="D6">
        <f t="shared" si="0"/>
        <v>0</v>
      </c>
      <c r="E6">
        <v>5</v>
      </c>
      <c r="F6">
        <f t="shared" si="1"/>
        <v>-0.33333333333333326</v>
      </c>
      <c r="G6">
        <v>4</v>
      </c>
      <c r="H6">
        <f t="shared" si="2"/>
        <v>0</v>
      </c>
      <c r="I6">
        <v>3</v>
      </c>
      <c r="J6">
        <f t="shared" si="3"/>
        <v>0.33333333333333337</v>
      </c>
      <c r="K6">
        <v>5</v>
      </c>
      <c r="L6">
        <f t="shared" si="4"/>
        <v>-0.33333333333333326</v>
      </c>
      <c r="M6">
        <v>4</v>
      </c>
      <c r="N6">
        <f t="shared" si="5"/>
        <v>0</v>
      </c>
      <c r="P6">
        <f t="shared" si="6"/>
        <v>-5.5555555555555525E-2</v>
      </c>
      <c r="R6" t="str" cm="1">
        <f t="array" ref="R6">IF(INDEX($D6:$N6, 1, (COLUMN()-18)*2 + 1)=0, "Neutral", IF(INDEX($D6:$N6, 1, (COLUMN()-18)*2 + 1)&gt;0, IF($B6=1, "TP", "TN"), IF($B6=1, "FN", "FP")))</f>
        <v>Neutral</v>
      </c>
      <c r="S6" t="str" cm="1">
        <f t="array" ref="S6">IF(INDEX($D6:$N6, 1, (COLUMN()-18)*2 + 1)=0, "Neutral", IF(INDEX($D6:$N6, 1, (COLUMN()-18)*2 + 1)&gt;0, IF($B6=1, "TP", "TN"), IF($B6=1, "FN", "FP")))</f>
        <v>FN</v>
      </c>
      <c r="T6" t="str" cm="1">
        <f t="array" ref="T6">IF(INDEX($D6:$N6, 1, (COLUMN()-18)*2 + 1)=0, "Neutral", IF(INDEX($D6:$N6, 1, (COLUMN()-18)*2 + 1)&gt;0, IF($B6=1, "TP", "TN"), IF($B6=1, "FN", "FP")))</f>
        <v>Neutral</v>
      </c>
      <c r="U6" t="str" cm="1">
        <f t="array" ref="U6">IF(INDEX($D6:$N6, 1, (COLUMN()-18)*2 + 1)=0, "Neutral", IF(INDEX($D6:$N6, 1, (COLUMN()-18)*2 + 1)&gt;0, IF($B6=1, "TP", "TN"), IF($B6=1, "FN", "FP")))</f>
        <v>TP</v>
      </c>
      <c r="V6" t="str" cm="1">
        <f t="array" ref="V6">IF(INDEX($D6:$N6, 1, (COLUMN()-18)*2 + 1)=0, "Neutral", IF(INDEX($D6:$N6, 1, (COLUMN()-18)*2 + 1)&gt;0, IF($B6=1, "TP", "TN"), IF($B6=1, "FN", "FP")))</f>
        <v>FN</v>
      </c>
      <c r="W6" t="str" cm="1">
        <f t="array" ref="W6">IF(INDEX($D6:$N6, 1, (COLUMN()-18)*2 + 1)=0, "Neutral", IF(INDEX($D6:$N6, 1, (COLUMN()-18)*2 + 1)&gt;0, IF($B6=1, "TP", "TN"), IF($B6=1, "FN", "FP")))</f>
        <v>Neutral</v>
      </c>
    </row>
    <row r="7" spans="1:23" x14ac:dyDescent="0.25">
      <c r="A7">
        <v>6</v>
      </c>
      <c r="B7">
        <v>7</v>
      </c>
      <c r="C7">
        <v>5</v>
      </c>
      <c r="D7">
        <f t="shared" si="0"/>
        <v>0.33333333333333337</v>
      </c>
      <c r="E7">
        <v>4</v>
      </c>
      <c r="F7">
        <f t="shared" si="1"/>
        <v>0</v>
      </c>
      <c r="G7">
        <v>6</v>
      </c>
      <c r="H7">
        <f t="shared" si="2"/>
        <v>0.66666666666666674</v>
      </c>
      <c r="I7">
        <v>6</v>
      </c>
      <c r="J7">
        <f t="shared" si="3"/>
        <v>0.66666666666666674</v>
      </c>
      <c r="K7">
        <v>5</v>
      </c>
      <c r="L7">
        <f t="shared" si="4"/>
        <v>0.33333333333333337</v>
      </c>
      <c r="M7">
        <v>4</v>
      </c>
      <c r="N7">
        <f t="shared" si="5"/>
        <v>0</v>
      </c>
      <c r="P7">
        <f t="shared" si="6"/>
        <v>0.33333333333333331</v>
      </c>
      <c r="R7" t="str" cm="1">
        <f t="array" ref="R7">IF(INDEX($D7:$N7, 1, (COLUMN()-18)*2 + 1)=0, "Neutral", IF(INDEX($D7:$N7, 1, (COLUMN()-18)*2 + 1)&gt;0, IF($B7=1, "TP", "TN"), IF($B7=1, "FN", "FP")))</f>
        <v>TN</v>
      </c>
      <c r="S7" t="str" cm="1">
        <f t="array" ref="S7">IF(INDEX($D7:$N7, 1, (COLUMN()-18)*2 + 1)=0, "Neutral", IF(INDEX($D7:$N7, 1, (COLUMN()-18)*2 + 1)&gt;0, IF($B7=1, "TP", "TN"), IF($B7=1, "FN", "FP")))</f>
        <v>Neutral</v>
      </c>
      <c r="T7" t="str" cm="1">
        <f t="array" ref="T7">IF(INDEX($D7:$N7, 1, (COLUMN()-18)*2 + 1)=0, "Neutral", IF(INDEX($D7:$N7, 1, (COLUMN()-18)*2 + 1)&gt;0, IF($B7=1, "TP", "TN"), IF($B7=1, "FN", "FP")))</f>
        <v>TN</v>
      </c>
      <c r="U7" t="str" cm="1">
        <f t="array" ref="U7">IF(INDEX($D7:$N7, 1, (COLUMN()-18)*2 + 1)=0, "Neutral", IF(INDEX($D7:$N7, 1, (COLUMN()-18)*2 + 1)&gt;0, IF($B7=1, "TP", "TN"), IF($B7=1, "FN", "FP")))</f>
        <v>TN</v>
      </c>
      <c r="V7" t="str" cm="1">
        <f t="array" ref="V7">IF(INDEX($D7:$N7, 1, (COLUMN()-18)*2 + 1)=0, "Neutral", IF(INDEX($D7:$N7, 1, (COLUMN()-18)*2 + 1)&gt;0, IF($B7=1, "TP", "TN"), IF($B7=1, "FN", "FP")))</f>
        <v>TN</v>
      </c>
      <c r="W7" t="str" cm="1">
        <f t="array" ref="W7">IF(INDEX($D7:$N7, 1, (COLUMN()-18)*2 + 1)=0, "Neutral", IF(INDEX($D7:$N7, 1, (COLUMN()-18)*2 + 1)&gt;0, IF($B7=1, "TP", "TN"), IF($B7=1, "FN", "FP")))</f>
        <v>Neutral</v>
      </c>
    </row>
    <row r="8" spans="1:23" x14ac:dyDescent="0.25">
      <c r="A8">
        <v>7</v>
      </c>
      <c r="B8">
        <v>1</v>
      </c>
      <c r="C8">
        <v>3</v>
      </c>
      <c r="D8">
        <f t="shared" si="0"/>
        <v>0.33333333333333337</v>
      </c>
      <c r="E8">
        <v>6</v>
      </c>
      <c r="F8">
        <f t="shared" si="1"/>
        <v>-0.66666666666666652</v>
      </c>
      <c r="G8">
        <v>3</v>
      </c>
      <c r="H8">
        <f t="shared" si="2"/>
        <v>0.33333333333333337</v>
      </c>
      <c r="I8">
        <v>6</v>
      </c>
      <c r="J8">
        <f t="shared" si="3"/>
        <v>-0.66666666666666652</v>
      </c>
      <c r="K8">
        <v>4</v>
      </c>
      <c r="L8">
        <f t="shared" si="4"/>
        <v>0</v>
      </c>
      <c r="M8">
        <v>5</v>
      </c>
      <c r="N8">
        <f t="shared" si="5"/>
        <v>-0.33333333333333326</v>
      </c>
      <c r="P8">
        <f t="shared" si="6"/>
        <v>-0.1666666666666666</v>
      </c>
      <c r="R8" t="str" cm="1">
        <f t="array" ref="R8">IF(INDEX($D8:$N8, 1, (COLUMN()-18)*2 + 1)=0, "Neutral", IF(INDEX($D8:$N8, 1, (COLUMN()-18)*2 + 1)&gt;0, IF($B8=1, "TP", "TN"), IF($B8=1, "FN", "FP")))</f>
        <v>TP</v>
      </c>
      <c r="S8" t="str" cm="1">
        <f t="array" ref="S8">IF(INDEX($D8:$N8, 1, (COLUMN()-18)*2 + 1)=0, "Neutral", IF(INDEX($D8:$N8, 1, (COLUMN()-18)*2 + 1)&gt;0, IF($B8=1, "TP", "TN"), IF($B8=1, "FN", "FP")))</f>
        <v>FN</v>
      </c>
      <c r="T8" t="str" cm="1">
        <f t="array" ref="T8">IF(INDEX($D8:$N8, 1, (COLUMN()-18)*2 + 1)=0, "Neutral", IF(INDEX($D8:$N8, 1, (COLUMN()-18)*2 + 1)&gt;0, IF($B8=1, "TP", "TN"), IF($B8=1, "FN", "FP")))</f>
        <v>TP</v>
      </c>
      <c r="U8" t="str" cm="1">
        <f t="array" ref="U8">IF(INDEX($D8:$N8, 1, (COLUMN()-18)*2 + 1)=0, "Neutral", IF(INDEX($D8:$N8, 1, (COLUMN()-18)*2 + 1)&gt;0, IF($B8=1, "TP", "TN"), IF($B8=1, "FN", "FP")))</f>
        <v>FN</v>
      </c>
      <c r="V8" t="str" cm="1">
        <f t="array" ref="V8">IF(INDEX($D8:$N8, 1, (COLUMN()-18)*2 + 1)=0, "Neutral", IF(INDEX($D8:$N8, 1, (COLUMN()-18)*2 + 1)&gt;0, IF($B8=1, "TP", "TN"), IF($B8=1, "FN", "FP")))</f>
        <v>Neutral</v>
      </c>
      <c r="W8" t="str" cm="1">
        <f t="array" ref="W8">IF(INDEX($D8:$N8, 1, (COLUMN()-18)*2 + 1)=0, "Neutral", IF(INDEX($D8:$N8, 1, (COLUMN()-18)*2 + 1)&gt;0, IF($B8=1, "TP", "TN"), IF($B8=1, "FN", "FP")))</f>
        <v>FN</v>
      </c>
    </row>
    <row r="9" spans="1:23" x14ac:dyDescent="0.25">
      <c r="A9">
        <v>8</v>
      </c>
      <c r="B9">
        <v>7</v>
      </c>
      <c r="C9">
        <v>2</v>
      </c>
      <c r="D9">
        <f t="shared" si="0"/>
        <v>-0.66666666666666652</v>
      </c>
      <c r="E9">
        <v>4</v>
      </c>
      <c r="F9">
        <f t="shared" si="1"/>
        <v>0</v>
      </c>
      <c r="G9">
        <v>3</v>
      </c>
      <c r="H9">
        <f t="shared" si="2"/>
        <v>-0.33333333333333326</v>
      </c>
      <c r="I9">
        <v>6</v>
      </c>
      <c r="J9">
        <f t="shared" si="3"/>
        <v>0.66666666666666674</v>
      </c>
      <c r="K9">
        <v>1</v>
      </c>
      <c r="L9">
        <f t="shared" si="4"/>
        <v>-1</v>
      </c>
      <c r="M9">
        <v>3</v>
      </c>
      <c r="N9">
        <f t="shared" si="5"/>
        <v>-0.33333333333333326</v>
      </c>
      <c r="P9">
        <f t="shared" si="6"/>
        <v>-0.27777777777777773</v>
      </c>
      <c r="R9" t="str" cm="1">
        <f t="array" ref="R9">IF(INDEX($D9:$N9, 1, (COLUMN()-18)*2 + 1)=0, "Neutral", IF(INDEX($D9:$N9, 1, (COLUMN()-18)*2 + 1)&gt;0, IF($B9=1, "TP", "TN"), IF($B9=1, "FN", "FP")))</f>
        <v>FP</v>
      </c>
      <c r="S9" t="str" cm="1">
        <f t="array" ref="S9">IF(INDEX($D9:$N9, 1, (COLUMN()-18)*2 + 1)=0, "Neutral", IF(INDEX($D9:$N9, 1, (COLUMN()-18)*2 + 1)&gt;0, IF($B9=1, "TP", "TN"), IF($B9=1, "FN", "FP")))</f>
        <v>Neutral</v>
      </c>
      <c r="T9" t="str" cm="1">
        <f t="array" ref="T9">IF(INDEX($D9:$N9, 1, (COLUMN()-18)*2 + 1)=0, "Neutral", IF(INDEX($D9:$N9, 1, (COLUMN()-18)*2 + 1)&gt;0, IF($B9=1, "TP", "TN"), IF($B9=1, "FN", "FP")))</f>
        <v>FP</v>
      </c>
      <c r="U9" t="str" cm="1">
        <f t="array" ref="U9">IF(INDEX($D9:$N9, 1, (COLUMN()-18)*2 + 1)=0, "Neutral", IF(INDEX($D9:$N9, 1, (COLUMN()-18)*2 + 1)&gt;0, IF($B9=1, "TP", "TN"), IF($B9=1, "FN", "FP")))</f>
        <v>TN</v>
      </c>
      <c r="V9" t="str" cm="1">
        <f t="array" ref="V9">IF(INDEX($D9:$N9, 1, (COLUMN()-18)*2 + 1)=0, "Neutral", IF(INDEX($D9:$N9, 1, (COLUMN()-18)*2 + 1)&gt;0, IF($B9=1, "TP", "TN"), IF($B9=1, "FN", "FP")))</f>
        <v>FP</v>
      </c>
      <c r="W9" t="str" cm="1">
        <f t="array" ref="W9">IF(INDEX($D9:$N9, 1, (COLUMN()-18)*2 + 1)=0, "Neutral", IF(INDEX($D9:$N9, 1, (COLUMN()-18)*2 + 1)&gt;0, IF($B9=1, "TP", "TN"), IF($B9=1, "FN", "FP")))</f>
        <v>FP</v>
      </c>
    </row>
    <row r="10" spans="1:23" x14ac:dyDescent="0.25">
      <c r="A10">
        <v>9</v>
      </c>
      <c r="B10">
        <v>1</v>
      </c>
      <c r="C10">
        <v>6</v>
      </c>
      <c r="D10">
        <f t="shared" si="0"/>
        <v>-0.66666666666666652</v>
      </c>
      <c r="E10">
        <v>5</v>
      </c>
      <c r="F10">
        <f t="shared" si="1"/>
        <v>-0.33333333333333326</v>
      </c>
      <c r="G10">
        <v>6</v>
      </c>
      <c r="H10">
        <f t="shared" si="2"/>
        <v>-0.66666666666666652</v>
      </c>
      <c r="I10">
        <v>2</v>
      </c>
      <c r="J10">
        <f t="shared" si="3"/>
        <v>0.66666666666666674</v>
      </c>
      <c r="K10">
        <v>4</v>
      </c>
      <c r="L10">
        <f t="shared" si="4"/>
        <v>0</v>
      </c>
      <c r="M10">
        <v>4</v>
      </c>
      <c r="N10">
        <f t="shared" si="5"/>
        <v>0</v>
      </c>
      <c r="P10">
        <f t="shared" si="6"/>
        <v>-0.1666666666666666</v>
      </c>
      <c r="R10" t="str" cm="1">
        <f t="array" ref="R10">IF(INDEX($D10:$N10, 1, (COLUMN()-18)*2 + 1)=0, "Neutral", IF(INDEX($D10:$N10, 1, (COLUMN()-18)*2 + 1)&gt;0, IF($B10=1, "TP", "TN"), IF($B10=1, "FN", "FP")))</f>
        <v>FN</v>
      </c>
      <c r="S10" t="str" cm="1">
        <f t="array" ref="S10">IF(INDEX($D10:$N10, 1, (COLUMN()-18)*2 + 1)=0, "Neutral", IF(INDEX($D10:$N10, 1, (COLUMN()-18)*2 + 1)&gt;0, IF($B10=1, "TP", "TN"), IF($B10=1, "FN", "FP")))</f>
        <v>FN</v>
      </c>
      <c r="T10" t="str" cm="1">
        <f t="array" ref="T10">IF(INDEX($D10:$N10, 1, (COLUMN()-18)*2 + 1)=0, "Neutral", IF(INDEX($D10:$N10, 1, (COLUMN()-18)*2 + 1)&gt;0, IF($B10=1, "TP", "TN"), IF($B10=1, "FN", "FP")))</f>
        <v>FN</v>
      </c>
      <c r="U10" t="str" cm="1">
        <f t="array" ref="U10">IF(INDEX($D10:$N10, 1, (COLUMN()-18)*2 + 1)=0, "Neutral", IF(INDEX($D10:$N10, 1, (COLUMN()-18)*2 + 1)&gt;0, IF($B10=1, "TP", "TN"), IF($B10=1, "FN", "FP")))</f>
        <v>TP</v>
      </c>
      <c r="V10" t="str" cm="1">
        <f t="array" ref="V10">IF(INDEX($D10:$N10, 1, (COLUMN()-18)*2 + 1)=0, "Neutral", IF(INDEX($D10:$N10, 1, (COLUMN()-18)*2 + 1)&gt;0, IF($B10=1, "TP", "TN"), IF($B10=1, "FN", "FP")))</f>
        <v>Neutral</v>
      </c>
      <c r="W10" t="str" cm="1">
        <f t="array" ref="W10">IF(INDEX($D10:$N10, 1, (COLUMN()-18)*2 + 1)=0, "Neutral", IF(INDEX($D10:$N10, 1, (COLUMN()-18)*2 + 1)&gt;0, IF($B10=1, "TP", "TN"), IF($B10=1, "FN", "FP")))</f>
        <v>Neutral</v>
      </c>
    </row>
    <row r="11" spans="1:23" x14ac:dyDescent="0.25">
      <c r="A11">
        <v>10</v>
      </c>
      <c r="B11">
        <v>1</v>
      </c>
      <c r="C11">
        <v>6</v>
      </c>
      <c r="D11">
        <f t="shared" si="0"/>
        <v>-0.66666666666666652</v>
      </c>
      <c r="E11">
        <v>2</v>
      </c>
      <c r="F11">
        <f t="shared" si="1"/>
        <v>0.66666666666666674</v>
      </c>
      <c r="G11">
        <v>6</v>
      </c>
      <c r="H11">
        <f t="shared" si="2"/>
        <v>-0.66666666666666652</v>
      </c>
      <c r="I11">
        <v>2</v>
      </c>
      <c r="J11">
        <f t="shared" si="3"/>
        <v>0.66666666666666674</v>
      </c>
      <c r="K11">
        <v>3</v>
      </c>
      <c r="L11">
        <f t="shared" si="4"/>
        <v>0.33333333333333337</v>
      </c>
      <c r="M11">
        <v>3</v>
      </c>
      <c r="N11">
        <f t="shared" si="5"/>
        <v>0.33333333333333337</v>
      </c>
      <c r="P11">
        <f t="shared" si="6"/>
        <v>0.1111111111111112</v>
      </c>
      <c r="R11" t="str" cm="1">
        <f t="array" ref="R11">IF(INDEX($D11:$N11, 1, (COLUMN()-18)*2 + 1)=0, "Neutral", IF(INDEX($D11:$N11, 1, (COLUMN()-18)*2 + 1)&gt;0, IF($B11=1, "TP", "TN"), IF($B11=1, "FN", "FP")))</f>
        <v>FN</v>
      </c>
      <c r="S11" t="str" cm="1">
        <f t="array" ref="S11">IF(INDEX($D11:$N11, 1, (COLUMN()-18)*2 + 1)=0, "Neutral", IF(INDEX($D11:$N11, 1, (COLUMN()-18)*2 + 1)&gt;0, IF($B11=1, "TP", "TN"), IF($B11=1, "FN", "FP")))</f>
        <v>TP</v>
      </c>
      <c r="T11" t="str" cm="1">
        <f t="array" ref="T11">IF(INDEX($D11:$N11, 1, (COLUMN()-18)*2 + 1)=0, "Neutral", IF(INDEX($D11:$N11, 1, (COLUMN()-18)*2 + 1)&gt;0, IF($B11=1, "TP", "TN"), IF($B11=1, "FN", "FP")))</f>
        <v>FN</v>
      </c>
      <c r="U11" t="str" cm="1">
        <f t="array" ref="U11">IF(INDEX($D11:$N11, 1, (COLUMN()-18)*2 + 1)=0, "Neutral", IF(INDEX($D11:$N11, 1, (COLUMN()-18)*2 + 1)&gt;0, IF($B11=1, "TP", "TN"), IF($B11=1, "FN", "FP")))</f>
        <v>TP</v>
      </c>
      <c r="V11" t="str" cm="1">
        <f t="array" ref="V11">IF(INDEX($D11:$N11, 1, (COLUMN()-18)*2 + 1)=0, "Neutral", IF(INDEX($D11:$N11, 1, (COLUMN()-18)*2 + 1)&gt;0, IF($B11=1, "TP", "TN"), IF($B11=1, "FN", "FP")))</f>
        <v>TP</v>
      </c>
      <c r="W11" t="str" cm="1">
        <f t="array" ref="W11">IF(INDEX($D11:$N11, 1, (COLUMN()-18)*2 + 1)=0, "Neutral", IF(INDEX($D11:$N11, 1, (COLUMN()-18)*2 + 1)&gt;0, IF($B11=1, "TP", "TN"), IF($B11=1, "FN", "FP")))</f>
        <v>TP</v>
      </c>
    </row>
    <row r="12" spans="1:23" x14ac:dyDescent="0.25">
      <c r="A12">
        <v>11</v>
      </c>
      <c r="B12">
        <v>7</v>
      </c>
      <c r="C12">
        <v>5</v>
      </c>
      <c r="D12">
        <f t="shared" si="0"/>
        <v>0.33333333333333337</v>
      </c>
      <c r="E12">
        <v>6</v>
      </c>
      <c r="F12">
        <f t="shared" si="1"/>
        <v>0.66666666666666674</v>
      </c>
      <c r="G12">
        <v>3</v>
      </c>
      <c r="H12">
        <f t="shared" si="2"/>
        <v>-0.33333333333333326</v>
      </c>
      <c r="I12">
        <v>6</v>
      </c>
      <c r="J12">
        <f t="shared" si="3"/>
        <v>0.66666666666666674</v>
      </c>
      <c r="K12">
        <v>6</v>
      </c>
      <c r="L12">
        <f t="shared" si="4"/>
        <v>0.66666666666666674</v>
      </c>
      <c r="M12">
        <v>3</v>
      </c>
      <c r="N12">
        <f t="shared" si="5"/>
        <v>-0.33333333333333326</v>
      </c>
      <c r="P12">
        <f t="shared" si="6"/>
        <v>0.27777777777777779</v>
      </c>
      <c r="R12" t="str" cm="1">
        <f t="array" ref="R12">IF(INDEX($D12:$N12, 1, (COLUMN()-18)*2 + 1)=0, "Neutral", IF(INDEX($D12:$N12, 1, (COLUMN()-18)*2 + 1)&gt;0, IF($B12=1, "TP", "TN"), IF($B12=1, "FN", "FP")))</f>
        <v>TN</v>
      </c>
      <c r="S12" t="str" cm="1">
        <f t="array" ref="S12">IF(INDEX($D12:$N12, 1, (COLUMN()-18)*2 + 1)=0, "Neutral", IF(INDEX($D12:$N12, 1, (COLUMN()-18)*2 + 1)&gt;0, IF($B12=1, "TP", "TN"), IF($B12=1, "FN", "FP")))</f>
        <v>TN</v>
      </c>
      <c r="T12" t="str" cm="1">
        <f t="array" ref="T12">IF(INDEX($D12:$N12, 1, (COLUMN()-18)*2 + 1)=0, "Neutral", IF(INDEX($D12:$N12, 1, (COLUMN()-18)*2 + 1)&gt;0, IF($B12=1, "TP", "TN"), IF($B12=1, "FN", "FP")))</f>
        <v>FP</v>
      </c>
      <c r="U12" t="str" cm="1">
        <f t="array" ref="U12">IF(INDEX($D12:$N12, 1, (COLUMN()-18)*2 + 1)=0, "Neutral", IF(INDEX($D12:$N12, 1, (COLUMN()-18)*2 + 1)&gt;0, IF($B12=1, "TP", "TN"), IF($B12=1, "FN", "FP")))</f>
        <v>TN</v>
      </c>
      <c r="V12" t="str" cm="1">
        <f t="array" ref="V12">IF(INDEX($D12:$N12, 1, (COLUMN()-18)*2 + 1)=0, "Neutral", IF(INDEX($D12:$N12, 1, (COLUMN()-18)*2 + 1)&gt;0, IF($B12=1, "TP", "TN"), IF($B12=1, "FN", "FP")))</f>
        <v>TN</v>
      </c>
      <c r="W12" t="str" cm="1">
        <f t="array" ref="W12">IF(INDEX($D12:$N12, 1, (COLUMN()-18)*2 + 1)=0, "Neutral", IF(INDEX($D12:$N12, 1, (COLUMN()-18)*2 + 1)&gt;0, IF($B12=1, "TP", "TN"), IF($B12=1, "FN", "FP")))</f>
        <v>FP</v>
      </c>
    </row>
    <row r="13" spans="1:23" x14ac:dyDescent="0.25">
      <c r="A13">
        <v>12</v>
      </c>
      <c r="B13">
        <v>7</v>
      </c>
      <c r="C13">
        <v>2</v>
      </c>
      <c r="D13">
        <f t="shared" si="0"/>
        <v>-0.66666666666666652</v>
      </c>
      <c r="E13">
        <v>3</v>
      </c>
      <c r="F13">
        <f t="shared" si="1"/>
        <v>-0.33333333333333326</v>
      </c>
      <c r="G13">
        <v>5</v>
      </c>
      <c r="H13">
        <f t="shared" si="2"/>
        <v>0.33333333333333337</v>
      </c>
      <c r="I13">
        <v>5</v>
      </c>
      <c r="J13">
        <f t="shared" si="3"/>
        <v>0.33333333333333337</v>
      </c>
      <c r="K13">
        <v>2</v>
      </c>
      <c r="L13">
        <f t="shared" si="4"/>
        <v>-0.66666666666666652</v>
      </c>
      <c r="M13">
        <v>4</v>
      </c>
      <c r="N13">
        <f t="shared" si="5"/>
        <v>0</v>
      </c>
      <c r="P13">
        <f t="shared" si="6"/>
        <v>-0.1666666666666666</v>
      </c>
      <c r="R13" t="str" cm="1">
        <f t="array" ref="R13">IF(INDEX($D13:$N13, 1, (COLUMN()-18)*2 + 1)=0, "Neutral", IF(INDEX($D13:$N13, 1, (COLUMN()-18)*2 + 1)&gt;0, IF($B13=1, "TP", "TN"), IF($B13=1, "FN", "FP")))</f>
        <v>FP</v>
      </c>
      <c r="S13" t="str" cm="1">
        <f t="array" ref="S13">IF(INDEX($D13:$N13, 1, (COLUMN()-18)*2 + 1)=0, "Neutral", IF(INDEX($D13:$N13, 1, (COLUMN()-18)*2 + 1)&gt;0, IF($B13=1, "TP", "TN"), IF($B13=1, "FN", "FP")))</f>
        <v>FP</v>
      </c>
      <c r="T13" t="str" cm="1">
        <f t="array" ref="T13">IF(INDEX($D13:$N13, 1, (COLUMN()-18)*2 + 1)=0, "Neutral", IF(INDEX($D13:$N13, 1, (COLUMN()-18)*2 + 1)&gt;0, IF($B13=1, "TP", "TN"), IF($B13=1, "FN", "FP")))</f>
        <v>TN</v>
      </c>
      <c r="U13" t="str" cm="1">
        <f t="array" ref="U13">IF(INDEX($D13:$N13, 1, (COLUMN()-18)*2 + 1)=0, "Neutral", IF(INDEX($D13:$N13, 1, (COLUMN()-18)*2 + 1)&gt;0, IF($B13=1, "TP", "TN"), IF($B13=1, "FN", "FP")))</f>
        <v>TN</v>
      </c>
      <c r="V13" t="str" cm="1">
        <f t="array" ref="V13">IF(INDEX($D13:$N13, 1, (COLUMN()-18)*2 + 1)=0, "Neutral", IF(INDEX($D13:$N13, 1, (COLUMN()-18)*2 + 1)&gt;0, IF($B13=1, "TP", "TN"), IF($B13=1, "FN", "FP")))</f>
        <v>FP</v>
      </c>
      <c r="W13" t="str" cm="1">
        <f t="array" ref="W13">IF(INDEX($D13:$N13, 1, (COLUMN()-18)*2 + 1)=0, "Neutral", IF(INDEX($D13:$N13, 1, (COLUMN()-18)*2 + 1)&gt;0, IF($B13=1, "TP", "TN"), IF($B13=1, "FN", "FP")))</f>
        <v>Neutral</v>
      </c>
    </row>
    <row r="14" spans="1:23" x14ac:dyDescent="0.25">
      <c r="A14">
        <v>13</v>
      </c>
      <c r="B14">
        <v>1</v>
      </c>
      <c r="C14">
        <v>2</v>
      </c>
      <c r="D14">
        <f t="shared" si="0"/>
        <v>0.66666666666666674</v>
      </c>
      <c r="E14">
        <v>7</v>
      </c>
      <c r="F14">
        <f t="shared" si="1"/>
        <v>-1</v>
      </c>
      <c r="G14">
        <v>6</v>
      </c>
      <c r="H14">
        <f t="shared" si="2"/>
        <v>-0.66666666666666652</v>
      </c>
      <c r="I14">
        <v>3</v>
      </c>
      <c r="J14">
        <f t="shared" si="3"/>
        <v>0.33333333333333337</v>
      </c>
      <c r="K14">
        <v>4</v>
      </c>
      <c r="L14">
        <f t="shared" si="4"/>
        <v>0</v>
      </c>
      <c r="M14">
        <v>5</v>
      </c>
      <c r="N14">
        <f t="shared" si="5"/>
        <v>-0.33333333333333326</v>
      </c>
      <c r="P14">
        <f t="shared" si="6"/>
        <v>-0.1666666666666666</v>
      </c>
      <c r="R14" t="str" cm="1">
        <f t="array" ref="R14">IF(INDEX($D14:$N14, 1, (COLUMN()-18)*2 + 1)=0, "Neutral", IF(INDEX($D14:$N14, 1, (COLUMN()-18)*2 + 1)&gt;0, IF($B14=1, "TP", "TN"), IF($B14=1, "FN", "FP")))</f>
        <v>TP</v>
      </c>
      <c r="S14" t="str" cm="1">
        <f t="array" ref="S14">IF(INDEX($D14:$N14, 1, (COLUMN()-18)*2 + 1)=0, "Neutral", IF(INDEX($D14:$N14, 1, (COLUMN()-18)*2 + 1)&gt;0, IF($B14=1, "TP", "TN"), IF($B14=1, "FN", "FP")))</f>
        <v>FN</v>
      </c>
      <c r="T14" t="str" cm="1">
        <f t="array" ref="T14">IF(INDEX($D14:$N14, 1, (COLUMN()-18)*2 + 1)=0, "Neutral", IF(INDEX($D14:$N14, 1, (COLUMN()-18)*2 + 1)&gt;0, IF($B14=1, "TP", "TN"), IF($B14=1, "FN", "FP")))</f>
        <v>FN</v>
      </c>
      <c r="U14" t="str" cm="1">
        <f t="array" ref="U14">IF(INDEX($D14:$N14, 1, (COLUMN()-18)*2 + 1)=0, "Neutral", IF(INDEX($D14:$N14, 1, (COLUMN()-18)*2 + 1)&gt;0, IF($B14=1, "TP", "TN"), IF($B14=1, "FN", "FP")))</f>
        <v>TP</v>
      </c>
      <c r="V14" t="str" cm="1">
        <f t="array" ref="V14">IF(INDEX($D14:$N14, 1, (COLUMN()-18)*2 + 1)=0, "Neutral", IF(INDEX($D14:$N14, 1, (COLUMN()-18)*2 + 1)&gt;0, IF($B14=1, "TP", "TN"), IF($B14=1, "FN", "FP")))</f>
        <v>Neutral</v>
      </c>
      <c r="W14" t="str" cm="1">
        <f t="array" ref="W14">IF(INDEX($D14:$N14, 1, (COLUMN()-18)*2 + 1)=0, "Neutral", IF(INDEX($D14:$N14, 1, (COLUMN()-18)*2 + 1)&gt;0, IF($B14=1, "TP", "TN"), IF($B14=1, "FN", "FP")))</f>
        <v>FN</v>
      </c>
    </row>
    <row r="15" spans="1:23" x14ac:dyDescent="0.25">
      <c r="A15">
        <v>14</v>
      </c>
      <c r="B15">
        <v>1</v>
      </c>
      <c r="C15">
        <v>2</v>
      </c>
      <c r="D15">
        <f t="shared" si="0"/>
        <v>0.66666666666666674</v>
      </c>
      <c r="E15">
        <v>5</v>
      </c>
      <c r="F15">
        <f t="shared" si="1"/>
        <v>-0.33333333333333326</v>
      </c>
      <c r="G15">
        <v>2</v>
      </c>
      <c r="H15">
        <f t="shared" si="2"/>
        <v>0.66666666666666674</v>
      </c>
      <c r="I15">
        <v>6</v>
      </c>
      <c r="J15">
        <f t="shared" si="3"/>
        <v>-0.66666666666666652</v>
      </c>
      <c r="K15">
        <v>1</v>
      </c>
      <c r="L15">
        <f t="shared" si="4"/>
        <v>1</v>
      </c>
      <c r="M15">
        <v>2</v>
      </c>
      <c r="N15">
        <f t="shared" si="5"/>
        <v>0.66666666666666674</v>
      </c>
      <c r="P15">
        <f t="shared" si="6"/>
        <v>0.33333333333333343</v>
      </c>
      <c r="R15" t="str" cm="1">
        <f t="array" ref="R15">IF(INDEX($D15:$N15, 1, (COLUMN()-18)*2 + 1)=0, "Neutral", IF(INDEX($D15:$N15, 1, (COLUMN()-18)*2 + 1)&gt;0, IF($B15=1, "TP", "TN"), IF($B15=1, "FN", "FP")))</f>
        <v>TP</v>
      </c>
      <c r="S15" t="str" cm="1">
        <f t="array" ref="S15">IF(INDEX($D15:$N15, 1, (COLUMN()-18)*2 + 1)=0, "Neutral", IF(INDEX($D15:$N15, 1, (COLUMN()-18)*2 + 1)&gt;0, IF($B15=1, "TP", "TN"), IF($B15=1, "FN", "FP")))</f>
        <v>FN</v>
      </c>
      <c r="T15" t="str" cm="1">
        <f t="array" ref="T15">IF(INDEX($D15:$N15, 1, (COLUMN()-18)*2 + 1)=0, "Neutral", IF(INDEX($D15:$N15, 1, (COLUMN()-18)*2 + 1)&gt;0, IF($B15=1, "TP", "TN"), IF($B15=1, "FN", "FP")))</f>
        <v>TP</v>
      </c>
      <c r="U15" t="str" cm="1">
        <f t="array" ref="U15">IF(INDEX($D15:$N15, 1, (COLUMN()-18)*2 + 1)=0, "Neutral", IF(INDEX($D15:$N15, 1, (COLUMN()-18)*2 + 1)&gt;0, IF($B15=1, "TP", "TN"), IF($B15=1, "FN", "FP")))</f>
        <v>FN</v>
      </c>
      <c r="V15" t="str" cm="1">
        <f t="array" ref="V15">IF(INDEX($D15:$N15, 1, (COLUMN()-18)*2 + 1)=0, "Neutral", IF(INDEX($D15:$N15, 1, (COLUMN()-18)*2 + 1)&gt;0, IF($B15=1, "TP", "TN"), IF($B15=1, "FN", "FP")))</f>
        <v>TP</v>
      </c>
      <c r="W15" t="str" cm="1">
        <f t="array" ref="W15">IF(INDEX($D15:$N15, 1, (COLUMN()-18)*2 + 1)=0, "Neutral", IF(INDEX($D15:$N15, 1, (COLUMN()-18)*2 + 1)&gt;0, IF($B15=1, "TP", "TN"), IF($B15=1, "FN", "FP")))</f>
        <v>TP</v>
      </c>
    </row>
    <row r="16" spans="1:23" x14ac:dyDescent="0.25">
      <c r="A16">
        <v>15</v>
      </c>
      <c r="B16">
        <v>7</v>
      </c>
      <c r="C16">
        <v>2</v>
      </c>
      <c r="D16">
        <f t="shared" si="0"/>
        <v>-0.66666666666666652</v>
      </c>
      <c r="E16">
        <v>5</v>
      </c>
      <c r="F16">
        <f t="shared" si="1"/>
        <v>0.33333333333333337</v>
      </c>
      <c r="G16">
        <v>5</v>
      </c>
      <c r="H16">
        <f t="shared" si="2"/>
        <v>0.33333333333333337</v>
      </c>
      <c r="I16">
        <v>5</v>
      </c>
      <c r="J16">
        <f t="shared" si="3"/>
        <v>0.33333333333333337</v>
      </c>
      <c r="K16">
        <v>2</v>
      </c>
      <c r="L16">
        <f t="shared" si="4"/>
        <v>-0.66666666666666652</v>
      </c>
      <c r="M16">
        <v>3</v>
      </c>
      <c r="N16">
        <f t="shared" si="5"/>
        <v>-0.33333333333333326</v>
      </c>
      <c r="P16">
        <f t="shared" si="6"/>
        <v>-0.11111111111111104</v>
      </c>
      <c r="R16" t="str" cm="1">
        <f t="array" ref="R16">IF(INDEX($D16:$N16, 1, (COLUMN()-18)*2 + 1)=0, "Neutral", IF(INDEX($D16:$N16, 1, (COLUMN()-18)*2 + 1)&gt;0, IF($B16=1, "TP", "TN"), IF($B16=1, "FN", "FP")))</f>
        <v>FP</v>
      </c>
      <c r="S16" t="str" cm="1">
        <f t="array" ref="S16">IF(INDEX($D16:$N16, 1, (COLUMN()-18)*2 + 1)=0, "Neutral", IF(INDEX($D16:$N16, 1, (COLUMN()-18)*2 + 1)&gt;0, IF($B16=1, "TP", "TN"), IF($B16=1, "FN", "FP")))</f>
        <v>TN</v>
      </c>
      <c r="T16" t="str" cm="1">
        <f t="array" ref="T16">IF(INDEX($D16:$N16, 1, (COLUMN()-18)*2 + 1)=0, "Neutral", IF(INDEX($D16:$N16, 1, (COLUMN()-18)*2 + 1)&gt;0, IF($B16=1, "TP", "TN"), IF($B16=1, "FN", "FP")))</f>
        <v>TN</v>
      </c>
      <c r="U16" t="str" cm="1">
        <f t="array" ref="U16">IF(INDEX($D16:$N16, 1, (COLUMN()-18)*2 + 1)=0, "Neutral", IF(INDEX($D16:$N16, 1, (COLUMN()-18)*2 + 1)&gt;0, IF($B16=1, "TP", "TN"), IF($B16=1, "FN", "FP")))</f>
        <v>TN</v>
      </c>
      <c r="V16" t="str" cm="1">
        <f t="array" ref="V16">IF(INDEX($D16:$N16, 1, (COLUMN()-18)*2 + 1)=0, "Neutral", IF(INDEX($D16:$N16, 1, (COLUMN()-18)*2 + 1)&gt;0, IF($B16=1, "TP", "TN"), IF($B16=1, "FN", "FP")))</f>
        <v>FP</v>
      </c>
      <c r="W16" t="str" cm="1">
        <f t="array" ref="W16">IF(INDEX($D16:$N16, 1, (COLUMN()-18)*2 + 1)=0, "Neutral", IF(INDEX($D16:$N16, 1, (COLUMN()-18)*2 + 1)&gt;0, IF($B16=1, "TP", "TN"), IF($B16=1, "FN", "FP")))</f>
        <v>FP</v>
      </c>
    </row>
    <row r="17" spans="1:23" x14ac:dyDescent="0.25">
      <c r="A17">
        <v>16</v>
      </c>
      <c r="B17">
        <v>7</v>
      </c>
      <c r="C17">
        <v>6</v>
      </c>
      <c r="D17">
        <f t="shared" si="0"/>
        <v>0.66666666666666674</v>
      </c>
      <c r="E17">
        <v>6</v>
      </c>
      <c r="F17">
        <f t="shared" si="1"/>
        <v>0.66666666666666674</v>
      </c>
      <c r="G17">
        <v>6</v>
      </c>
      <c r="H17">
        <f t="shared" si="2"/>
        <v>0.66666666666666674</v>
      </c>
      <c r="I17">
        <v>5</v>
      </c>
      <c r="J17">
        <f t="shared" si="3"/>
        <v>0.33333333333333337</v>
      </c>
      <c r="K17">
        <v>4</v>
      </c>
      <c r="L17">
        <f t="shared" si="4"/>
        <v>0</v>
      </c>
      <c r="M17">
        <v>3</v>
      </c>
      <c r="N17">
        <f t="shared" si="5"/>
        <v>-0.33333333333333326</v>
      </c>
      <c r="P17">
        <f t="shared" si="6"/>
        <v>0.33333333333333331</v>
      </c>
      <c r="R17" t="str" cm="1">
        <f t="array" ref="R17">IF(INDEX($D17:$N17, 1, (COLUMN()-18)*2 + 1)=0, "Neutral", IF(INDEX($D17:$N17, 1, (COLUMN()-18)*2 + 1)&gt;0, IF($B17=1, "TP", "TN"), IF($B17=1, "FN", "FP")))</f>
        <v>TN</v>
      </c>
      <c r="S17" t="str" cm="1">
        <f t="array" ref="S17">IF(INDEX($D17:$N17, 1, (COLUMN()-18)*2 + 1)=0, "Neutral", IF(INDEX($D17:$N17, 1, (COLUMN()-18)*2 + 1)&gt;0, IF($B17=1, "TP", "TN"), IF($B17=1, "FN", "FP")))</f>
        <v>TN</v>
      </c>
      <c r="T17" t="str" cm="1">
        <f t="array" ref="T17">IF(INDEX($D17:$N17, 1, (COLUMN()-18)*2 + 1)=0, "Neutral", IF(INDEX($D17:$N17, 1, (COLUMN()-18)*2 + 1)&gt;0, IF($B17=1, "TP", "TN"), IF($B17=1, "FN", "FP")))</f>
        <v>TN</v>
      </c>
      <c r="U17" t="str" cm="1">
        <f t="array" ref="U17">IF(INDEX($D17:$N17, 1, (COLUMN()-18)*2 + 1)=0, "Neutral", IF(INDEX($D17:$N17, 1, (COLUMN()-18)*2 + 1)&gt;0, IF($B17=1, "TP", "TN"), IF($B17=1, "FN", "FP")))</f>
        <v>TN</v>
      </c>
      <c r="V17" t="str" cm="1">
        <f t="array" ref="V17">IF(INDEX($D17:$N17, 1, (COLUMN()-18)*2 + 1)=0, "Neutral", IF(INDEX($D17:$N17, 1, (COLUMN()-18)*2 + 1)&gt;0, IF($B17=1, "TP", "TN"), IF($B17=1, "FN", "FP")))</f>
        <v>Neutral</v>
      </c>
      <c r="W17" t="str" cm="1">
        <f t="array" ref="W17">IF(INDEX($D17:$N17, 1, (COLUMN()-18)*2 + 1)=0, "Neutral", IF(INDEX($D17:$N17, 1, (COLUMN()-18)*2 + 1)&gt;0, IF($B17=1, "TP", "TN"), IF($B17=1, "FN", "FP")))</f>
        <v>FP</v>
      </c>
    </row>
    <row r="18" spans="1:23" x14ac:dyDescent="0.25">
      <c r="A18">
        <v>17</v>
      </c>
      <c r="B18">
        <v>1</v>
      </c>
      <c r="C18">
        <v>1</v>
      </c>
      <c r="D18">
        <f t="shared" si="0"/>
        <v>1</v>
      </c>
      <c r="E18">
        <v>2</v>
      </c>
      <c r="F18">
        <f t="shared" si="1"/>
        <v>0.66666666666666674</v>
      </c>
      <c r="G18">
        <v>2</v>
      </c>
      <c r="H18">
        <f t="shared" si="2"/>
        <v>0.66666666666666674</v>
      </c>
      <c r="I18">
        <v>5</v>
      </c>
      <c r="J18">
        <f t="shared" si="3"/>
        <v>-0.33333333333333326</v>
      </c>
      <c r="K18">
        <v>1</v>
      </c>
      <c r="L18">
        <f t="shared" si="4"/>
        <v>1</v>
      </c>
      <c r="M18">
        <v>3</v>
      </c>
      <c r="N18">
        <f t="shared" si="5"/>
        <v>0.33333333333333337</v>
      </c>
      <c r="P18">
        <f t="shared" si="6"/>
        <v>0.55555555555555558</v>
      </c>
      <c r="R18" t="str" cm="1">
        <f t="array" ref="R18">IF(INDEX($D18:$N18, 1, (COLUMN()-18)*2 + 1)=0, "Neutral", IF(INDEX($D18:$N18, 1, (COLUMN()-18)*2 + 1)&gt;0, IF($B18=1, "TP", "TN"), IF($B18=1, "FN", "FP")))</f>
        <v>TP</v>
      </c>
      <c r="S18" t="str" cm="1">
        <f t="array" ref="S18">IF(INDEX($D18:$N18, 1, (COLUMN()-18)*2 + 1)=0, "Neutral", IF(INDEX($D18:$N18, 1, (COLUMN()-18)*2 + 1)&gt;0, IF($B18=1, "TP", "TN"), IF($B18=1, "FN", "FP")))</f>
        <v>TP</v>
      </c>
      <c r="T18" t="str" cm="1">
        <f t="array" ref="T18">IF(INDEX($D18:$N18, 1, (COLUMN()-18)*2 + 1)=0, "Neutral", IF(INDEX($D18:$N18, 1, (COLUMN()-18)*2 + 1)&gt;0, IF($B18=1, "TP", "TN"), IF($B18=1, "FN", "FP")))</f>
        <v>TP</v>
      </c>
      <c r="U18" t="str" cm="1">
        <f t="array" ref="U18">IF(INDEX($D18:$N18, 1, (COLUMN()-18)*2 + 1)=0, "Neutral", IF(INDEX($D18:$N18, 1, (COLUMN()-18)*2 + 1)&gt;0, IF($B18=1, "TP", "TN"), IF($B18=1, "FN", "FP")))</f>
        <v>FN</v>
      </c>
      <c r="V18" t="str" cm="1">
        <f t="array" ref="V18">IF(INDEX($D18:$N18, 1, (COLUMN()-18)*2 + 1)=0, "Neutral", IF(INDEX($D18:$N18, 1, (COLUMN()-18)*2 + 1)&gt;0, IF($B18=1, "TP", "TN"), IF($B18=1, "FN", "FP")))</f>
        <v>TP</v>
      </c>
      <c r="W18" t="str" cm="1">
        <f t="array" ref="W18">IF(INDEX($D18:$N18, 1, (COLUMN()-18)*2 + 1)=0, "Neutral", IF(INDEX($D18:$N18, 1, (COLUMN()-18)*2 + 1)&gt;0, IF($B18=1, "TP", "TN"), IF($B18=1, "FN", "FP")))</f>
        <v>TP</v>
      </c>
    </row>
    <row r="19" spans="1:23" x14ac:dyDescent="0.25">
      <c r="A19">
        <v>18</v>
      </c>
      <c r="B19">
        <v>1</v>
      </c>
      <c r="C19">
        <v>2</v>
      </c>
      <c r="D19">
        <f t="shared" si="0"/>
        <v>0.66666666666666674</v>
      </c>
      <c r="E19">
        <v>5</v>
      </c>
      <c r="F19">
        <f t="shared" si="1"/>
        <v>-0.33333333333333326</v>
      </c>
      <c r="G19">
        <v>5</v>
      </c>
      <c r="H19">
        <f t="shared" si="2"/>
        <v>-0.33333333333333326</v>
      </c>
      <c r="I19">
        <v>6</v>
      </c>
      <c r="J19">
        <f t="shared" si="3"/>
        <v>-0.66666666666666652</v>
      </c>
      <c r="K19">
        <v>7</v>
      </c>
      <c r="L19">
        <f t="shared" si="4"/>
        <v>-1</v>
      </c>
      <c r="M19">
        <v>3</v>
      </c>
      <c r="N19">
        <f t="shared" si="5"/>
        <v>0.33333333333333337</v>
      </c>
      <c r="P19">
        <f t="shared" si="6"/>
        <v>-0.22222222222222218</v>
      </c>
      <c r="R19" t="str" cm="1">
        <f t="array" ref="R19">IF(INDEX($D19:$N19, 1, (COLUMN()-18)*2 + 1)=0, "Neutral", IF(INDEX($D19:$N19, 1, (COLUMN()-18)*2 + 1)&gt;0, IF($B19=1, "TP", "TN"), IF($B19=1, "FN", "FP")))</f>
        <v>TP</v>
      </c>
      <c r="S19" t="str" cm="1">
        <f t="array" ref="S19">IF(INDEX($D19:$N19, 1, (COLUMN()-18)*2 + 1)=0, "Neutral", IF(INDEX($D19:$N19, 1, (COLUMN()-18)*2 + 1)&gt;0, IF($B19=1, "TP", "TN"), IF($B19=1, "FN", "FP")))</f>
        <v>FN</v>
      </c>
      <c r="T19" t="str" cm="1">
        <f t="array" ref="T19">IF(INDEX($D19:$N19, 1, (COLUMN()-18)*2 + 1)=0, "Neutral", IF(INDEX($D19:$N19, 1, (COLUMN()-18)*2 + 1)&gt;0, IF($B19=1, "TP", "TN"), IF($B19=1, "FN", "FP")))</f>
        <v>FN</v>
      </c>
      <c r="U19" t="str" cm="1">
        <f t="array" ref="U19">IF(INDEX($D19:$N19, 1, (COLUMN()-18)*2 + 1)=0, "Neutral", IF(INDEX($D19:$N19, 1, (COLUMN()-18)*2 + 1)&gt;0, IF($B19=1, "TP", "TN"), IF($B19=1, "FN", "FP")))</f>
        <v>FN</v>
      </c>
      <c r="V19" t="str" cm="1">
        <f t="array" ref="V19">IF(INDEX($D19:$N19, 1, (COLUMN()-18)*2 + 1)=0, "Neutral", IF(INDEX($D19:$N19, 1, (COLUMN()-18)*2 + 1)&gt;0, IF($B19=1, "TP", "TN"), IF($B19=1, "FN", "FP")))</f>
        <v>FN</v>
      </c>
      <c r="W19" t="str" cm="1">
        <f t="array" ref="W19">IF(INDEX($D19:$N19, 1, (COLUMN()-18)*2 + 1)=0, "Neutral", IF(INDEX($D19:$N19, 1, (COLUMN()-18)*2 + 1)&gt;0, IF($B19=1, "TP", "TN"), IF($B19=1, "FN", "FP")))</f>
        <v>TP</v>
      </c>
    </row>
    <row r="20" spans="1:23" x14ac:dyDescent="0.25">
      <c r="A20" s="2"/>
      <c r="B20" s="2"/>
      <c r="C20" s="2"/>
      <c r="D20" s="2">
        <f>SUM(D2:D19)</f>
        <v>2.3333333333333348</v>
      </c>
      <c r="E20" s="2"/>
      <c r="F20" s="2">
        <f>SUM(F2:F19)</f>
        <v>-0.33333333333333193</v>
      </c>
      <c r="G20" s="2"/>
      <c r="H20" s="2">
        <f>SUM(H2:H19)</f>
        <v>1.2212453270876722E-15</v>
      </c>
      <c r="I20" s="2"/>
      <c r="J20" s="2">
        <f>SUM(J2:J19)</f>
        <v>3.0000000000000022</v>
      </c>
      <c r="K20" s="2"/>
      <c r="L20" s="2">
        <f>SUM(L2:L19)</f>
        <v>0.66666666666666741</v>
      </c>
      <c r="N20" s="1">
        <f>SUM(N2:N19)</f>
        <v>-0.33333333333333237</v>
      </c>
      <c r="P20" s="1">
        <f>AVERAGE(D20,F20,H20,J20,L20,N20)</f>
        <v>0.88888888888889017</v>
      </c>
    </row>
    <row r="23" spans="1:23" ht="15.75" thickBot="1" x14ac:dyDescent="0.3"/>
    <row r="24" spans="1:23" ht="45.75" thickBot="1" x14ac:dyDescent="0.3">
      <c r="I24" s="3" t="s">
        <v>9</v>
      </c>
      <c r="J24" s="3" t="s">
        <v>10</v>
      </c>
      <c r="K24" s="3" t="s">
        <v>11</v>
      </c>
      <c r="L24" s="3" t="s">
        <v>12</v>
      </c>
    </row>
    <row r="25" spans="1:23" ht="43.5" thickBot="1" x14ac:dyDescent="0.3">
      <c r="I25" s="3" t="s">
        <v>13</v>
      </c>
      <c r="J25" s="4" t="s">
        <v>14</v>
      </c>
      <c r="K25" s="4" t="s">
        <v>15</v>
      </c>
      <c r="L25" s="3" t="s">
        <v>16</v>
      </c>
    </row>
    <row r="26" spans="1:23" ht="43.5" thickBot="1" x14ac:dyDescent="0.3">
      <c r="I26" s="3" t="s">
        <v>13</v>
      </c>
      <c r="J26" s="4" t="s">
        <v>17</v>
      </c>
      <c r="K26" s="4" t="s">
        <v>18</v>
      </c>
      <c r="L26" s="3" t="s">
        <v>19</v>
      </c>
    </row>
    <row r="27" spans="1:23" ht="45.75" thickBot="1" x14ac:dyDescent="0.3">
      <c r="I27" s="3" t="s">
        <v>20</v>
      </c>
      <c r="J27" s="4" t="s">
        <v>21</v>
      </c>
      <c r="K27" s="4" t="s">
        <v>22</v>
      </c>
      <c r="L27" s="3" t="s">
        <v>23</v>
      </c>
    </row>
    <row r="28" spans="1:23" ht="45.75" thickBot="1" x14ac:dyDescent="0.3">
      <c r="I28" s="3" t="s">
        <v>20</v>
      </c>
      <c r="J28" s="4" t="s">
        <v>24</v>
      </c>
      <c r="K28" s="4" t="s">
        <v>25</v>
      </c>
      <c r="L28" s="3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</dc:creator>
  <cp:lastModifiedBy>Markéta Lapcíková (MLAP) | VIA</cp:lastModifiedBy>
  <dcterms:created xsi:type="dcterms:W3CDTF">2015-06-05T18:17:20Z</dcterms:created>
  <dcterms:modified xsi:type="dcterms:W3CDTF">2025-12-27T22:08:16Z</dcterms:modified>
</cp:coreProperties>
</file>